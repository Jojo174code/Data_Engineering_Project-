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List" sheetId="1" state="visible" r:id="rId1"/>
    <sheet name="Summary" sheetId="2" state="visible" r:id="rId2"/>
  </sheets>
  <definedNames>
    <definedName name="_xlnm._FilterDatabase" localSheetId="0" hidden="1">'Bid List'!$A$1:$N$43</definedName>
    <definedName name="_xlnm._FilterDatabase" localSheetId="1" hidden="1">'Summary'!$A$1:$B$15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4DFEC"/>
        <b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164" fontId="0" fillId="2" borderId="0" pivotButton="0" quotePrefix="0" xfId="0"/>
    <xf numFmtId="164" fontId="0" fillId="3" borderId="0" pivotButton="0" quotePrefix="0" xfId="0"/>
    <xf numFmtId="0" fontId="0" fillId="2" borderId="0" applyAlignment="1" pivotButton="0" quotePrefix="0" xfId="0">
      <alignment vertical="top" wrapText="1"/>
    </xf>
    <xf numFmtId="0" fontId="0" fillId="4" borderId="0" pivotButton="0" quotePrefix="0" xfId="0"/>
    <xf numFmtId="164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164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9" customWidth="1" min="5" max="5"/>
    <col width="24" customWidth="1" min="6" max="6"/>
    <col width="13" customWidth="1" min="7" max="7"/>
    <col width="12" customWidth="1" min="8" max="8"/>
    <col width="24" customWidth="1" min="9" max="9"/>
    <col width="17" customWidth="1" min="10" max="10"/>
    <col width="17" customWidth="1" min="11" max="11"/>
    <col width="25" customWidth="1" min="12" max="12"/>
    <col width="16" customWidth="1" min="13" max="13"/>
    <col width="12" customWidth="1" min="14" max="14"/>
  </cols>
  <sheetData>
    <row r="1">
      <c r="A1" s="1" t="inlineStr">
        <is>
          <t>#</t>
        </is>
      </c>
      <c r="B1" s="1" t="inlineStr">
        <is>
          <t>Color</t>
        </is>
      </c>
      <c r="C1" s="1" t="inlineStr">
        <is>
          <t>Source</t>
        </is>
      </c>
      <c r="D1" s="1" t="inlineStr">
        <is>
          <t>Original Rank</t>
        </is>
      </c>
      <c r="E1" s="1" t="inlineStr">
        <is>
          <t>Parcel ID</t>
        </is>
      </c>
      <c r="F1" s="1" t="inlineStr">
        <is>
          <t>Address</t>
        </is>
      </c>
      <c r="G1" s="1" t="inlineStr">
        <is>
          <t>Opening Bid</t>
        </is>
      </c>
      <c r="H1" s="1" t="inlineStr">
        <is>
          <t>Max Bid</t>
        </is>
      </c>
      <c r="I1" s="1" t="inlineStr">
        <is>
          <t>Bid Spread</t>
        </is>
      </c>
      <c r="J1" s="1" t="inlineStr">
        <is>
          <t>Drive-By Status</t>
        </is>
      </c>
      <c r="K1" s="1" t="inlineStr">
        <is>
          <t>Lien/Title Risk</t>
        </is>
      </c>
      <c r="L1" s="1" t="inlineStr">
        <is>
          <t>Entitlement/Zoning Risk</t>
        </is>
      </c>
      <c r="M1" s="1" t="inlineStr">
        <is>
          <t>Final Decision</t>
        </is>
      </c>
      <c r="N1" s="1" t="inlineStr">
        <is>
          <t>Notes</t>
        </is>
      </c>
    </row>
    <row r="2">
      <c r="A2" s="2" t="n">
        <v>1</v>
      </c>
      <c r="B2" s="2" t="inlineStr">
        <is>
          <t>Green</t>
        </is>
      </c>
      <c r="C2" s="2" t="inlineStr">
        <is>
          <t>$900–$1,000</t>
        </is>
      </c>
      <c r="D2" s="2" t="n">
        <v>7</v>
      </c>
      <c r="E2" s="2" t="inlineStr">
        <is>
          <t>44675-92-08-04460</t>
        </is>
      </c>
      <c r="F2" s="2" t="inlineStr">
        <is>
          <t>5134 W CHARLES PAGE</t>
        </is>
      </c>
      <c r="G2" s="3" t="n">
        <v>907.78</v>
      </c>
      <c r="H2" s="4" t="inlineStr"/>
      <c r="I2" s="3">
        <f>IF(H2="","",H2-G2)</f>
        <v/>
      </c>
      <c r="J2" s="2" t="inlineStr">
        <is>
          <t>Not Checked</t>
        </is>
      </c>
      <c r="K2" s="2" t="inlineStr">
        <is>
          <t>Not Checked</t>
        </is>
      </c>
      <c r="L2" s="2" t="inlineStr">
        <is>
          <t>Not Checked</t>
        </is>
      </c>
      <c r="M2" s="2" t="inlineStr">
        <is>
          <t>Research</t>
        </is>
      </c>
      <c r="N2" s="5" t="inlineStr"/>
    </row>
    <row r="3">
      <c r="A3" s="2" t="n">
        <v>2</v>
      </c>
      <c r="B3" s="2" t="inlineStr">
        <is>
          <t>Green</t>
        </is>
      </c>
      <c r="C3" s="2" t="inlineStr">
        <is>
          <t>$900–$1,000</t>
        </is>
      </c>
      <c r="D3" s="2" t="n">
        <v>1</v>
      </c>
      <c r="E3" s="2" t="inlineStr">
        <is>
          <t>01875-03-19-00200</t>
        </is>
      </c>
      <c r="F3" s="2" t="inlineStr">
        <is>
          <t>2612 N TRENTON AV E</t>
        </is>
      </c>
      <c r="G3" s="3" t="n">
        <v>962.5700000000001</v>
      </c>
      <c r="H3" s="4" t="inlineStr"/>
      <c r="I3" s="3">
        <f>IF(H3="","",H3-G3)</f>
        <v/>
      </c>
      <c r="J3" s="2" t="inlineStr">
        <is>
          <t>Not Checked</t>
        </is>
      </c>
      <c r="K3" s="2" t="inlineStr">
        <is>
          <t>Not Checked</t>
        </is>
      </c>
      <c r="L3" s="2" t="inlineStr">
        <is>
          <t>Not Checked</t>
        </is>
      </c>
      <c r="M3" s="2" t="inlineStr">
        <is>
          <t>Research</t>
        </is>
      </c>
      <c r="N3" s="5" t="inlineStr"/>
    </row>
    <row r="4">
      <c r="A4" s="6" t="n">
        <v>3</v>
      </c>
      <c r="B4" s="6" t="inlineStr">
        <is>
          <t>Blue</t>
        </is>
      </c>
      <c r="C4" s="6" t="inlineStr">
        <is>
          <t>$1,000–$1,500</t>
        </is>
      </c>
      <c r="D4" s="6" t="n">
        <v>50</v>
      </c>
      <c r="E4" s="6" t="inlineStr">
        <is>
          <t>96203-62-03-50220</t>
        </is>
      </c>
      <c r="F4" s="6" t="inlineStr">
        <is>
          <t>18911 S 29 AV W</t>
        </is>
      </c>
      <c r="G4" s="7" t="n">
        <v>1064.76</v>
      </c>
      <c r="H4" s="4" t="inlineStr"/>
      <c r="I4" s="7">
        <f>IF(H4="","",H4-G4)</f>
        <v/>
      </c>
      <c r="J4" s="6" t="inlineStr">
        <is>
          <t>Not Checked</t>
        </is>
      </c>
      <c r="K4" s="6" t="inlineStr">
        <is>
          <t>Not Checked</t>
        </is>
      </c>
      <c r="L4" s="6" t="inlineStr">
        <is>
          <t>Not Checked</t>
        </is>
      </c>
      <c r="M4" s="6" t="inlineStr">
        <is>
          <t>Research</t>
        </is>
      </c>
      <c r="N4" s="8" t="inlineStr"/>
    </row>
    <row r="5">
      <c r="A5" s="2" t="n">
        <v>4</v>
      </c>
      <c r="B5" s="2" t="inlineStr">
        <is>
          <t>Green</t>
        </is>
      </c>
      <c r="C5" s="2" t="inlineStr">
        <is>
          <t>$1,000–$1,500</t>
        </is>
      </c>
      <c r="D5" s="2" t="n">
        <v>36</v>
      </c>
      <c r="E5" s="2" t="inlineStr">
        <is>
          <t>43300-03-29-09940</t>
        </is>
      </c>
      <c r="F5" s="2" t="inlineStr">
        <is>
          <t>2311 N ATLANTA AV E</t>
        </is>
      </c>
      <c r="G5" s="3" t="n">
        <v>1179.88</v>
      </c>
      <c r="H5" s="4" t="inlineStr"/>
      <c r="I5" s="3">
        <f>IF(H5="","",H5-G5)</f>
        <v/>
      </c>
      <c r="J5" s="2" t="inlineStr">
        <is>
          <t>Not Checked</t>
        </is>
      </c>
      <c r="K5" s="2" t="inlineStr">
        <is>
          <t>Not Checked</t>
        </is>
      </c>
      <c r="L5" s="2" t="inlineStr">
        <is>
          <t>Not Checked</t>
        </is>
      </c>
      <c r="M5" s="2" t="inlineStr">
        <is>
          <t>Research</t>
        </is>
      </c>
      <c r="N5" s="5" t="inlineStr"/>
    </row>
    <row r="6">
      <c r="A6" s="2" t="n">
        <v>5</v>
      </c>
      <c r="B6" s="2" t="inlineStr">
        <is>
          <t>Green</t>
        </is>
      </c>
      <c r="C6" s="2" t="inlineStr">
        <is>
          <t>$1,000–$1,500</t>
        </is>
      </c>
      <c r="D6" s="2" t="n">
        <v>13</v>
      </c>
      <c r="E6" s="2" t="inlineStr">
        <is>
          <t>40875-02-13-11530</t>
        </is>
      </c>
      <c r="F6" s="2" t="inlineStr">
        <is>
          <t>210 E 44 ST N</t>
        </is>
      </c>
      <c r="G6" s="3" t="n">
        <v>1184.93</v>
      </c>
      <c r="H6" s="4" t="inlineStr"/>
      <c r="I6" s="3">
        <f>IF(H6="","",H6-G6)</f>
        <v/>
      </c>
      <c r="J6" s="2" t="inlineStr">
        <is>
          <t>Not Checked</t>
        </is>
      </c>
      <c r="K6" s="2" t="inlineStr">
        <is>
          <t>Not Checked</t>
        </is>
      </c>
      <c r="L6" s="2" t="inlineStr">
        <is>
          <t>Not Checked</t>
        </is>
      </c>
      <c r="M6" s="2" t="inlineStr">
        <is>
          <t>Research</t>
        </is>
      </c>
      <c r="N6" s="5" t="inlineStr"/>
    </row>
    <row r="7">
      <c r="A7" s="2" t="n">
        <v>6</v>
      </c>
      <c r="B7" s="2" t="inlineStr">
        <is>
          <t>Green</t>
        </is>
      </c>
      <c r="C7" s="2" t="inlineStr">
        <is>
          <t>$1,000–$1,500</t>
        </is>
      </c>
      <c r="D7" s="2" t="n">
        <v>5</v>
      </c>
      <c r="E7" s="2" t="inlineStr">
        <is>
          <t>24925-02-36-17420</t>
        </is>
      </c>
      <c r="F7" s="2" t="inlineStr">
        <is>
          <t>1084 N NORFOLK AV E</t>
        </is>
      </c>
      <c r="G7" s="3" t="n">
        <v>1199.79</v>
      </c>
      <c r="H7" s="4" t="inlineStr"/>
      <c r="I7" s="3">
        <f>IF(H7="","",H7-G7)</f>
        <v/>
      </c>
      <c r="J7" s="2" t="inlineStr">
        <is>
          <t>Not Checked</t>
        </is>
      </c>
      <c r="K7" s="2" t="inlineStr">
        <is>
          <t>Not Checked</t>
        </is>
      </c>
      <c r="L7" s="2" t="inlineStr">
        <is>
          <t>Not Checked</t>
        </is>
      </c>
      <c r="M7" s="2" t="inlineStr">
        <is>
          <t>Research</t>
        </is>
      </c>
      <c r="N7" s="5" t="inlineStr"/>
    </row>
    <row r="8">
      <c r="A8" s="2" t="n">
        <v>7</v>
      </c>
      <c r="B8" s="2" t="inlineStr">
        <is>
          <t>Green</t>
        </is>
      </c>
      <c r="C8" s="2" t="inlineStr">
        <is>
          <t>$1,000–$1,500</t>
        </is>
      </c>
      <c r="D8" s="2" t="n">
        <v>16</v>
      </c>
      <c r="E8" s="2" t="inlineStr">
        <is>
          <t>26725-02-25-16640</t>
        </is>
      </c>
      <c r="F8" s="2" t="inlineStr">
        <is>
          <t>515 E UTE ST N</t>
        </is>
      </c>
      <c r="G8" s="3" t="n">
        <v>1216.55</v>
      </c>
      <c r="H8" s="4" t="inlineStr"/>
      <c r="I8" s="3">
        <f>IF(H8="","",H8-G8)</f>
        <v/>
      </c>
      <c r="J8" s="2" t="inlineStr">
        <is>
          <t>Not Checked</t>
        </is>
      </c>
      <c r="K8" s="2" t="inlineStr">
        <is>
          <t>Not Checked</t>
        </is>
      </c>
      <c r="L8" s="2" t="inlineStr">
        <is>
          <t>Not Checked</t>
        </is>
      </c>
      <c r="M8" s="2" t="inlineStr">
        <is>
          <t>Research</t>
        </is>
      </c>
      <c r="N8" s="5" t="inlineStr"/>
    </row>
    <row r="9">
      <c r="A9" s="2" t="n">
        <v>8</v>
      </c>
      <c r="B9" s="2" t="inlineStr">
        <is>
          <t>Green</t>
        </is>
      </c>
      <c r="C9" s="2" t="inlineStr">
        <is>
          <t>$1,000–$1,500</t>
        </is>
      </c>
      <c r="D9" s="2" t="n">
        <v>32</v>
      </c>
      <c r="E9" s="2" t="inlineStr">
        <is>
          <t>41025-02-01-04710</t>
        </is>
      </c>
      <c r="F9" s="2" t="inlineStr">
        <is>
          <t>5901 N GARRISON PL E</t>
        </is>
      </c>
      <c r="G9" s="3" t="n">
        <v>1273.2</v>
      </c>
      <c r="H9" s="4" t="inlineStr"/>
      <c r="I9" s="3">
        <f>IF(H9="","",H9-G9)</f>
        <v/>
      </c>
      <c r="J9" s="2" t="inlineStr">
        <is>
          <t>Not Checked</t>
        </is>
      </c>
      <c r="K9" s="2" t="inlineStr">
        <is>
          <t>Not Checked</t>
        </is>
      </c>
      <c r="L9" s="2" t="inlineStr">
        <is>
          <t>Not Checked</t>
        </is>
      </c>
      <c r="M9" s="2" t="inlineStr">
        <is>
          <t>Research</t>
        </is>
      </c>
      <c r="N9" s="5" t="inlineStr"/>
    </row>
    <row r="10">
      <c r="A10" s="2" t="n">
        <v>9</v>
      </c>
      <c r="B10" s="2" t="inlineStr">
        <is>
          <t>Green</t>
        </is>
      </c>
      <c r="C10" s="2" t="inlineStr">
        <is>
          <t>$1,000–$1,500</t>
        </is>
      </c>
      <c r="D10" s="2" t="n">
        <v>33</v>
      </c>
      <c r="E10" s="2" t="inlineStr">
        <is>
          <t>41025-02-01-05430</t>
        </is>
      </c>
      <c r="F10" s="2" t="inlineStr">
        <is>
          <t>522 E 59 ST N</t>
        </is>
      </c>
      <c r="G10" s="3" t="n">
        <v>1273.2</v>
      </c>
      <c r="H10" s="4" t="inlineStr"/>
      <c r="I10" s="3">
        <f>IF(H10="","",H10-G10)</f>
        <v/>
      </c>
      <c r="J10" s="2" t="inlineStr">
        <is>
          <t>Not Checked</t>
        </is>
      </c>
      <c r="K10" s="2" t="inlineStr">
        <is>
          <t>Not Checked</t>
        </is>
      </c>
      <c r="L10" s="2" t="inlineStr">
        <is>
          <t>Not Checked</t>
        </is>
      </c>
      <c r="M10" s="2" t="inlineStr">
        <is>
          <t>Research</t>
        </is>
      </c>
      <c r="N10" s="5" t="inlineStr"/>
    </row>
    <row r="11">
      <c r="A11" s="2" t="n">
        <v>10</v>
      </c>
      <c r="B11" s="2" t="inlineStr">
        <is>
          <t>Green</t>
        </is>
      </c>
      <c r="C11" s="2" t="inlineStr">
        <is>
          <t>$1,000–$1,500</t>
        </is>
      </c>
      <c r="D11" s="2" t="n">
        <v>38</v>
      </c>
      <c r="E11" s="2" t="inlineStr">
        <is>
          <t>05850-03-30-04070</t>
        </is>
      </c>
      <c r="F11" s="2" t="inlineStr">
        <is>
          <t>1844 N TRENTON AV E</t>
        </is>
      </c>
      <c r="G11" s="3" t="n">
        <v>1297.53</v>
      </c>
      <c r="H11" s="4" t="inlineStr"/>
      <c r="I11" s="3">
        <f>IF(H11="","",H11-G11)</f>
        <v/>
      </c>
      <c r="J11" s="2" t="inlineStr">
        <is>
          <t>Not Checked</t>
        </is>
      </c>
      <c r="K11" s="2" t="inlineStr">
        <is>
          <t>Not Checked</t>
        </is>
      </c>
      <c r="L11" s="2" t="inlineStr">
        <is>
          <t>Not Checked</t>
        </is>
      </c>
      <c r="M11" s="2" t="inlineStr">
        <is>
          <t>Research</t>
        </is>
      </c>
      <c r="N11" s="5" t="inlineStr"/>
    </row>
    <row r="12">
      <c r="A12" s="9" t="n">
        <v>11</v>
      </c>
      <c r="B12" s="9" t="inlineStr">
        <is>
          <t>Purple</t>
        </is>
      </c>
      <c r="C12" s="9" t="inlineStr">
        <is>
          <t>$1,000–$1,500</t>
        </is>
      </c>
      <c r="D12" s="9" t="n">
        <v>28</v>
      </c>
      <c r="E12" s="9" t="inlineStr">
        <is>
          <t>90212-02-12-26700</t>
        </is>
      </c>
      <c r="F12" s="9" t="inlineStr">
        <is>
          <t>1118 E 50 PL N</t>
        </is>
      </c>
      <c r="G12" s="10" t="n">
        <v>1317.38</v>
      </c>
      <c r="H12" s="4" t="inlineStr"/>
      <c r="I12" s="10">
        <f>IF(H12="","",H12-G12)</f>
        <v/>
      </c>
      <c r="J12" s="9" t="inlineStr">
        <is>
          <t>Not Checked</t>
        </is>
      </c>
      <c r="K12" s="9" t="inlineStr">
        <is>
          <t>Not Checked</t>
        </is>
      </c>
      <c r="L12" s="9" t="inlineStr">
        <is>
          <t>Not Checked</t>
        </is>
      </c>
      <c r="M12" s="9" t="inlineStr">
        <is>
          <t>Research</t>
        </is>
      </c>
      <c r="N12" s="11" t="inlineStr"/>
    </row>
    <row r="13">
      <c r="A13" s="2" t="n">
        <v>12</v>
      </c>
      <c r="B13" s="2" t="inlineStr">
        <is>
          <t>Green</t>
        </is>
      </c>
      <c r="C13" s="2" t="inlineStr">
        <is>
          <t>$1,000–$1,500</t>
        </is>
      </c>
      <c r="D13" s="2" t="n">
        <v>21</v>
      </c>
      <c r="E13" s="2" t="inlineStr">
        <is>
          <t>05400-02-25-04330</t>
        </is>
      </c>
      <c r="F13" s="2" t="inlineStr">
        <is>
          <t>524 E YOUNG ST N</t>
        </is>
      </c>
      <c r="G13" s="3" t="n">
        <v>1418.58</v>
      </c>
      <c r="H13" s="4" t="inlineStr"/>
      <c r="I13" s="3">
        <f>IF(H13="","",H13-G13)</f>
        <v/>
      </c>
      <c r="J13" s="2" t="inlineStr">
        <is>
          <t>Not Checked</t>
        </is>
      </c>
      <c r="K13" s="2" t="inlineStr">
        <is>
          <t>Not Checked</t>
        </is>
      </c>
      <c r="L13" s="2" t="inlineStr">
        <is>
          <t>Not Checked</t>
        </is>
      </c>
      <c r="M13" s="2" t="inlineStr">
        <is>
          <t>Research</t>
        </is>
      </c>
      <c r="N13" s="5" t="inlineStr"/>
    </row>
    <row r="14">
      <c r="A14" s="2" t="n">
        <v>13</v>
      </c>
      <c r="B14" s="2" t="inlineStr">
        <is>
          <t>Green</t>
        </is>
      </c>
      <c r="C14" s="2" t="inlineStr">
        <is>
          <t>$1,500–$2,000</t>
        </is>
      </c>
      <c r="D14" s="2" t="n">
        <v>2</v>
      </c>
      <c r="E14" s="2" t="inlineStr">
        <is>
          <t>47175-03-29-18430</t>
        </is>
      </c>
      <c r="F14" s="2" t="inlineStr">
        <is>
          <t>1903 N FLORENCE PL E</t>
        </is>
      </c>
      <c r="G14" s="3" t="n">
        <v>1549.17</v>
      </c>
      <c r="H14" s="4" t="inlineStr"/>
      <c r="I14" s="3">
        <f>IF(H14="","",H14-G14)</f>
        <v/>
      </c>
      <c r="J14" s="2" t="inlineStr">
        <is>
          <t>Not Checked</t>
        </is>
      </c>
      <c r="K14" s="2" t="inlineStr">
        <is>
          <t>Not Checked</t>
        </is>
      </c>
      <c r="L14" s="2" t="inlineStr">
        <is>
          <t>Not Checked</t>
        </is>
      </c>
      <c r="M14" s="2" t="inlineStr">
        <is>
          <t>Research</t>
        </is>
      </c>
      <c r="N14" s="5" t="inlineStr"/>
    </row>
    <row r="15">
      <c r="A15" s="2" t="n">
        <v>14</v>
      </c>
      <c r="B15" s="2" t="inlineStr">
        <is>
          <t>Green</t>
        </is>
      </c>
      <c r="C15" s="2" t="inlineStr">
        <is>
          <t>$1,500–$2,000</t>
        </is>
      </c>
      <c r="D15" s="2" t="n">
        <v>7</v>
      </c>
      <c r="E15" s="2" t="inlineStr">
        <is>
          <t>38675-93-10-06110</t>
        </is>
      </c>
      <c r="F15" s="2" t="inlineStr">
        <is>
          <t>1321 S DARLINGTON AV E</t>
        </is>
      </c>
      <c r="G15" s="3" t="n">
        <v>1603.63</v>
      </c>
      <c r="H15" s="4" t="inlineStr"/>
      <c r="I15" s="3">
        <f>IF(H15="","",H15-G15)</f>
        <v/>
      </c>
      <c r="J15" s="2" t="inlineStr">
        <is>
          <t>Not Checked</t>
        </is>
      </c>
      <c r="K15" s="2" t="inlineStr">
        <is>
          <t>Not Checked</t>
        </is>
      </c>
      <c r="L15" s="2" t="inlineStr">
        <is>
          <t>Not Checked</t>
        </is>
      </c>
      <c r="M15" s="2" t="inlineStr">
        <is>
          <t>Research</t>
        </is>
      </c>
      <c r="N15" s="5" t="inlineStr"/>
    </row>
    <row r="16">
      <c r="A16" s="2" t="n">
        <v>15</v>
      </c>
      <c r="B16" s="2" t="inlineStr">
        <is>
          <t>Green</t>
        </is>
      </c>
      <c r="C16" s="2" t="inlineStr">
        <is>
          <t>$1,500–$2,000</t>
        </is>
      </c>
      <c r="D16" s="2" t="n">
        <v>12</v>
      </c>
      <c r="E16" s="2" t="inlineStr">
        <is>
          <t>40250-03-31-14910</t>
        </is>
      </c>
      <c r="F16" s="2" t="inlineStr">
        <is>
          <t>1945 E NEWTON ST N</t>
        </is>
      </c>
      <c r="G16" s="3" t="n">
        <v>1613.17</v>
      </c>
      <c r="H16" s="4" t="inlineStr"/>
      <c r="I16" s="3">
        <f>IF(H16="","",H16-G16)</f>
        <v/>
      </c>
      <c r="J16" s="2" t="inlineStr">
        <is>
          <t>Not Checked</t>
        </is>
      </c>
      <c r="K16" s="2" t="inlineStr">
        <is>
          <t>Not Checked</t>
        </is>
      </c>
      <c r="L16" s="2" t="inlineStr">
        <is>
          <t>Not Checked</t>
        </is>
      </c>
      <c r="M16" s="2" t="inlineStr">
        <is>
          <t>Research</t>
        </is>
      </c>
      <c r="N16" s="5" t="inlineStr"/>
    </row>
    <row r="17">
      <c r="A17" s="9" t="n">
        <v>16</v>
      </c>
      <c r="B17" s="9" t="inlineStr">
        <is>
          <t>Purple</t>
        </is>
      </c>
      <c r="C17" s="9" t="inlineStr">
        <is>
          <t>$1,500–$2,000</t>
        </is>
      </c>
      <c r="D17" s="9" t="n">
        <v>25</v>
      </c>
      <c r="E17" s="9" t="inlineStr">
        <is>
          <t>53825-02-02-01690</t>
        </is>
      </c>
      <c r="F17" s="9" t="inlineStr">
        <is>
          <t>6369 N BOULDER AV W</t>
        </is>
      </c>
      <c r="G17" s="10" t="n">
        <v>1693.83</v>
      </c>
      <c r="H17" s="4" t="inlineStr"/>
      <c r="I17" s="10">
        <f>IF(H17="","",H17-G17)</f>
        <v/>
      </c>
      <c r="J17" s="9" t="inlineStr">
        <is>
          <t>Not Checked</t>
        </is>
      </c>
      <c r="K17" s="9" t="inlineStr">
        <is>
          <t>Not Checked</t>
        </is>
      </c>
      <c r="L17" s="9" t="inlineStr">
        <is>
          <t>Not Checked</t>
        </is>
      </c>
      <c r="M17" s="9" t="inlineStr">
        <is>
          <t>Research</t>
        </is>
      </c>
      <c r="N17" s="11" t="inlineStr"/>
    </row>
    <row r="18">
      <c r="A18" s="2" t="n">
        <v>17</v>
      </c>
      <c r="B18" s="2" t="inlineStr">
        <is>
          <t>Green</t>
        </is>
      </c>
      <c r="C18" s="2" t="inlineStr">
        <is>
          <t>$1,500–$2,000</t>
        </is>
      </c>
      <c r="D18" s="2" t="n">
        <v>28</v>
      </c>
      <c r="E18" s="2" t="inlineStr">
        <is>
          <t>40825-02-13-08310</t>
        </is>
      </c>
      <c r="F18" s="2" t="inlineStr">
        <is>
          <t>4337 N GARRISON AV E</t>
        </is>
      </c>
      <c r="G18" s="3" t="n">
        <v>1697.16</v>
      </c>
      <c r="H18" s="4" t="inlineStr"/>
      <c r="I18" s="3">
        <f>IF(H18="","",H18-G18)</f>
        <v/>
      </c>
      <c r="J18" s="2" t="inlineStr">
        <is>
          <t>Not Checked</t>
        </is>
      </c>
      <c r="K18" s="2" t="inlineStr">
        <is>
          <t>Not Checked</t>
        </is>
      </c>
      <c r="L18" s="2" t="inlineStr">
        <is>
          <t>Not Checked</t>
        </is>
      </c>
      <c r="M18" s="2" t="inlineStr">
        <is>
          <t>Research</t>
        </is>
      </c>
      <c r="N18" s="5" t="inlineStr"/>
    </row>
    <row r="19">
      <c r="A19" s="2" t="n">
        <v>18</v>
      </c>
      <c r="B19" s="2" t="inlineStr">
        <is>
          <t>Green</t>
        </is>
      </c>
      <c r="C19" s="2" t="inlineStr">
        <is>
          <t>$1,500–$2,000</t>
        </is>
      </c>
      <c r="D19" s="2" t="n">
        <v>31</v>
      </c>
      <c r="E19" s="2" t="inlineStr">
        <is>
          <t>24675-03-31-13270</t>
        </is>
      </c>
      <c r="F19" s="2" t="inlineStr">
        <is>
          <t>1404 N ST LOUIS AV E</t>
        </is>
      </c>
      <c r="G19" s="3" t="n">
        <v>1697.83</v>
      </c>
      <c r="H19" s="4" t="inlineStr"/>
      <c r="I19" s="3">
        <f>IF(H19="","",H19-G19)</f>
        <v/>
      </c>
      <c r="J19" s="2" t="inlineStr">
        <is>
          <t>Not Checked</t>
        </is>
      </c>
      <c r="K19" s="2" t="inlineStr">
        <is>
          <t>Not Checked</t>
        </is>
      </c>
      <c r="L19" s="2" t="inlineStr">
        <is>
          <t>Not Checked</t>
        </is>
      </c>
      <c r="M19" s="2" t="inlineStr">
        <is>
          <t>Research</t>
        </is>
      </c>
      <c r="N19" s="5" t="inlineStr"/>
    </row>
    <row r="20">
      <c r="A20" s="9" t="n">
        <v>19</v>
      </c>
      <c r="B20" s="9" t="inlineStr">
        <is>
          <t>Purple</t>
        </is>
      </c>
      <c r="C20" s="9" t="inlineStr">
        <is>
          <t>$1,500–$2,000</t>
        </is>
      </c>
      <c r="D20" s="9" t="n">
        <v>36</v>
      </c>
      <c r="E20" s="9" t="inlineStr">
        <is>
          <t>56925-92-20-02770</t>
        </is>
      </c>
      <c r="F20" s="9" t="inlineStr">
        <is>
          <t>3930 S 61 AV W</t>
        </is>
      </c>
      <c r="G20" s="10" t="n">
        <v>1716.68</v>
      </c>
      <c r="H20" s="4" t="inlineStr"/>
      <c r="I20" s="10">
        <f>IF(H20="","",H20-G20)</f>
        <v/>
      </c>
      <c r="J20" s="9" t="inlineStr">
        <is>
          <t>Not Checked</t>
        </is>
      </c>
      <c r="K20" s="9" t="inlineStr">
        <is>
          <t>Not Checked</t>
        </is>
      </c>
      <c r="L20" s="9" t="inlineStr">
        <is>
          <t>Not Checked</t>
        </is>
      </c>
      <c r="M20" s="9" t="inlineStr">
        <is>
          <t>Research</t>
        </is>
      </c>
      <c r="N20" s="11" t="inlineStr"/>
    </row>
    <row r="21">
      <c r="A21" s="6" t="n">
        <v>20</v>
      </c>
      <c r="B21" s="6" t="inlineStr">
        <is>
          <t>Blue</t>
        </is>
      </c>
      <c r="C21" s="6" t="inlineStr">
        <is>
          <t>$1,500–$2,000</t>
        </is>
      </c>
      <c r="D21" s="6" t="n">
        <v>41</v>
      </c>
      <c r="E21" s="6" t="inlineStr">
        <is>
          <t>13850-93-05-10570</t>
        </is>
      </c>
      <c r="F21" s="6" t="inlineStr">
        <is>
          <t>2621 E ADMIRAL CT N</t>
        </is>
      </c>
      <c r="G21" s="7" t="n">
        <v>1759.82</v>
      </c>
      <c r="H21" s="4" t="inlineStr"/>
      <c r="I21" s="7">
        <f>IF(H21="","",H21-G21)</f>
        <v/>
      </c>
      <c r="J21" s="6" t="inlineStr">
        <is>
          <t>Not Checked</t>
        </is>
      </c>
      <c r="K21" s="6" t="inlineStr">
        <is>
          <t>Not Checked</t>
        </is>
      </c>
      <c r="L21" s="6" t="inlineStr">
        <is>
          <t>Not Checked</t>
        </is>
      </c>
      <c r="M21" s="6" t="inlineStr">
        <is>
          <t>Research</t>
        </is>
      </c>
      <c r="N21" s="8" t="inlineStr"/>
    </row>
    <row r="22">
      <c r="A22" s="2" t="n">
        <v>21</v>
      </c>
      <c r="B22" s="2" t="inlineStr">
        <is>
          <t>Green</t>
        </is>
      </c>
      <c r="C22" s="2" t="inlineStr">
        <is>
          <t>$1,500–$2,000</t>
        </is>
      </c>
      <c r="D22" s="2" t="n">
        <v>43</v>
      </c>
      <c r="E22" s="2" t="inlineStr">
        <is>
          <t>40850-02-12-07900</t>
        </is>
      </c>
      <c r="F22" s="2" t="inlineStr">
        <is>
          <t>517 E 47 PL N</t>
        </is>
      </c>
      <c r="G22" s="3" t="n">
        <v>1771.82</v>
      </c>
      <c r="H22" s="4" t="inlineStr"/>
      <c r="I22" s="3">
        <f>IF(H22="","",H22-G22)</f>
        <v/>
      </c>
      <c r="J22" s="2" t="inlineStr">
        <is>
          <t>Not Checked</t>
        </is>
      </c>
      <c r="K22" s="2" t="inlineStr">
        <is>
          <t>Not Checked</t>
        </is>
      </c>
      <c r="L22" s="2" t="inlineStr">
        <is>
          <t>Not Checked</t>
        </is>
      </c>
      <c r="M22" s="2" t="inlineStr">
        <is>
          <t>Research</t>
        </is>
      </c>
      <c r="N22" s="5" t="inlineStr"/>
    </row>
    <row r="23">
      <c r="A23" s="2" t="n">
        <v>22</v>
      </c>
      <c r="B23" s="2" t="inlineStr">
        <is>
          <t>Green</t>
        </is>
      </c>
      <c r="C23" s="2" t="inlineStr">
        <is>
          <t>$1,500–$2,000</t>
        </is>
      </c>
      <c r="D23" s="2" t="n">
        <v>44</v>
      </c>
      <c r="E23" s="2" t="inlineStr">
        <is>
          <t>40250-03-31-15190</t>
        </is>
      </c>
      <c r="F23" s="2" t="inlineStr">
        <is>
          <t>2143 E NEWTON ST N</t>
        </is>
      </c>
      <c r="G23" s="3" t="n">
        <v>1778.61</v>
      </c>
      <c r="H23" s="4" t="inlineStr"/>
      <c r="I23" s="3">
        <f>IF(H23="","",H23-G23)</f>
        <v/>
      </c>
      <c r="J23" s="2" t="inlineStr">
        <is>
          <t>Not Checked</t>
        </is>
      </c>
      <c r="K23" s="2" t="inlineStr">
        <is>
          <t>Not Checked</t>
        </is>
      </c>
      <c r="L23" s="2" t="inlineStr">
        <is>
          <t>Not Checked</t>
        </is>
      </c>
      <c r="M23" s="2" t="inlineStr">
        <is>
          <t>Research</t>
        </is>
      </c>
      <c r="N23" s="5" t="inlineStr"/>
    </row>
    <row r="24">
      <c r="A24" s="2" t="n">
        <v>23</v>
      </c>
      <c r="B24" s="2" t="inlineStr">
        <is>
          <t>Green</t>
        </is>
      </c>
      <c r="C24" s="2" t="inlineStr">
        <is>
          <t>$1,500–$2,000</t>
        </is>
      </c>
      <c r="D24" s="2" t="n">
        <v>46</v>
      </c>
      <c r="E24" s="2" t="inlineStr">
        <is>
          <t>44675-92-08-04450</t>
        </is>
      </c>
      <c r="F24" s="2" t="inlineStr">
        <is>
          <t>5128 W CHARLES PAGE</t>
        </is>
      </c>
      <c r="G24" s="3" t="n">
        <v>1783.15</v>
      </c>
      <c r="H24" s="4" t="inlineStr"/>
      <c r="I24" s="3">
        <f>IF(H24="","",H24-G24)</f>
        <v/>
      </c>
      <c r="J24" s="2" t="inlineStr">
        <is>
          <t>Not Checked</t>
        </is>
      </c>
      <c r="K24" s="2" t="inlineStr">
        <is>
          <t>Not Checked</t>
        </is>
      </c>
      <c r="L24" s="2" t="inlineStr">
        <is>
          <t>Not Checked</t>
        </is>
      </c>
      <c r="M24" s="2" t="inlineStr">
        <is>
          <t>Research</t>
        </is>
      </c>
      <c r="N24" s="5" t="inlineStr"/>
    </row>
    <row r="25">
      <c r="A25" s="2" t="n">
        <v>24</v>
      </c>
      <c r="B25" s="2" t="inlineStr">
        <is>
          <t>Green</t>
        </is>
      </c>
      <c r="C25" s="2" t="inlineStr">
        <is>
          <t>Manual Review</t>
        </is>
      </c>
      <c r="D25" s="2" t="n">
        <v>2</v>
      </c>
      <c r="E25" s="2" t="inlineStr">
        <is>
          <t>34300-03-32-15230</t>
        </is>
      </c>
      <c r="F25" s="2" t="inlineStr">
        <is>
          <t>135 N COLUMBIA AV E</t>
        </is>
      </c>
      <c r="G25" s="3" t="n">
        <v>3005.69</v>
      </c>
      <c r="H25" s="4" t="inlineStr"/>
      <c r="I25" s="3">
        <f>IF(H25="","",H25-G25)</f>
        <v/>
      </c>
      <c r="J25" s="2" t="inlineStr">
        <is>
          <t>Not Checked</t>
        </is>
      </c>
      <c r="K25" s="2" t="inlineStr">
        <is>
          <t>Not Checked</t>
        </is>
      </c>
      <c r="L25" s="2" t="inlineStr">
        <is>
          <t>Not Checked</t>
        </is>
      </c>
      <c r="M25" s="2" t="inlineStr">
        <is>
          <t>Research</t>
        </is>
      </c>
      <c r="N25" s="5" t="inlineStr"/>
    </row>
    <row r="26">
      <c r="A26" s="2" t="n">
        <v>25</v>
      </c>
      <c r="B26" s="2" t="inlineStr">
        <is>
          <t>Green</t>
        </is>
      </c>
      <c r="C26" s="2" t="inlineStr">
        <is>
          <t>Manual Review</t>
        </is>
      </c>
      <c r="D26" s="2" t="n">
        <v>8</v>
      </c>
      <c r="E26" s="2" t="inlineStr">
        <is>
          <t>44200-02-11-04390</t>
        </is>
      </c>
      <c r="F26" s="2" t="inlineStr">
        <is>
          <t>4696 N BOULDER AV W</t>
        </is>
      </c>
      <c r="G26" s="3" t="n">
        <v>3075.02</v>
      </c>
      <c r="H26" s="4" t="inlineStr"/>
      <c r="I26" s="3">
        <f>IF(H26="","",H26-G26)</f>
        <v/>
      </c>
      <c r="J26" s="2" t="inlineStr">
        <is>
          <t>Not Checked</t>
        </is>
      </c>
      <c r="K26" s="2" t="inlineStr">
        <is>
          <t>Not Checked</t>
        </is>
      </c>
      <c r="L26" s="2" t="inlineStr">
        <is>
          <t>Not Checked</t>
        </is>
      </c>
      <c r="M26" s="2" t="inlineStr">
        <is>
          <t>Research</t>
        </is>
      </c>
      <c r="N26" s="5" t="inlineStr"/>
    </row>
    <row r="27">
      <c r="A27" s="2" t="n">
        <v>26</v>
      </c>
      <c r="B27" s="2" t="inlineStr">
        <is>
          <t>Green</t>
        </is>
      </c>
      <c r="C27" s="2" t="inlineStr">
        <is>
          <t>Manual Review</t>
        </is>
      </c>
      <c r="D27" s="2" t="n">
        <v>9</v>
      </c>
      <c r="E27" s="2" t="inlineStr">
        <is>
          <t>34750-02-26-08160</t>
        </is>
      </c>
      <c r="F27" s="2" t="inlineStr">
        <is>
          <t>2507 N MAIN ST E TULSA</t>
        </is>
      </c>
      <c r="G27" s="3" t="n">
        <v>3097.02</v>
      </c>
      <c r="H27" s="4" t="inlineStr"/>
      <c r="I27" s="3">
        <f>IF(H27="","",H27-G27)</f>
        <v/>
      </c>
      <c r="J27" s="2" t="inlineStr">
        <is>
          <t>Not Checked</t>
        </is>
      </c>
      <c r="K27" s="2" t="inlineStr">
        <is>
          <t>Not Checked</t>
        </is>
      </c>
      <c r="L27" s="2" t="inlineStr">
        <is>
          <t>Not Checked</t>
        </is>
      </c>
      <c r="M27" s="2" t="inlineStr">
        <is>
          <t>Research</t>
        </is>
      </c>
      <c r="N27" s="5" t="inlineStr"/>
    </row>
    <row r="28">
      <c r="A28" s="2" t="n">
        <v>27</v>
      </c>
      <c r="B28" s="2" t="inlineStr">
        <is>
          <t>Green</t>
        </is>
      </c>
      <c r="C28" s="2" t="inlineStr">
        <is>
          <t>Manual Review</t>
        </is>
      </c>
      <c r="D28" s="2" t="n">
        <v>11</v>
      </c>
      <c r="E28" s="2" t="inlineStr">
        <is>
          <t>23175-03-30-13610</t>
        </is>
      </c>
      <c r="F28" s="2" t="inlineStr">
        <is>
          <t>2526 N QUAKER AV E</t>
        </is>
      </c>
      <c r="G28" s="3" t="n">
        <v>3115.02</v>
      </c>
      <c r="H28" s="4" t="inlineStr"/>
      <c r="I28" s="3">
        <f>IF(H28="","",H28-G28)</f>
        <v/>
      </c>
      <c r="J28" s="2" t="inlineStr">
        <is>
          <t>Not Checked</t>
        </is>
      </c>
      <c r="K28" s="2" t="inlineStr">
        <is>
          <t>Not Checked</t>
        </is>
      </c>
      <c r="L28" s="2" t="inlineStr">
        <is>
          <t>Not Checked</t>
        </is>
      </c>
      <c r="M28" s="2" t="inlineStr">
        <is>
          <t>Research</t>
        </is>
      </c>
      <c r="N28" s="5" t="inlineStr"/>
    </row>
    <row r="29">
      <c r="A29" s="2" t="n">
        <v>28</v>
      </c>
      <c r="B29" s="2" t="inlineStr">
        <is>
          <t>Green</t>
        </is>
      </c>
      <c r="C29" s="2" t="inlineStr">
        <is>
          <t>Manual Review</t>
        </is>
      </c>
      <c r="D29" s="2" t="n">
        <v>15</v>
      </c>
      <c r="E29" s="2" t="inlineStr">
        <is>
          <t>53775-02-02-00220</t>
        </is>
      </c>
      <c r="F29" s="2" t="inlineStr">
        <is>
          <t>6105 N MAIN ST E TULSA</t>
        </is>
      </c>
      <c r="G29" s="3" t="n">
        <v>3140.32</v>
      </c>
      <c r="H29" s="4" t="inlineStr"/>
      <c r="I29" s="3">
        <f>IF(H29="","",H29-G29)</f>
        <v/>
      </c>
      <c r="J29" s="2" t="inlineStr">
        <is>
          <t>Not Checked</t>
        </is>
      </c>
      <c r="K29" s="2" t="inlineStr">
        <is>
          <t>Not Checked</t>
        </is>
      </c>
      <c r="L29" s="2" t="inlineStr">
        <is>
          <t>Not Checked</t>
        </is>
      </c>
      <c r="M29" s="2" t="inlineStr">
        <is>
          <t>Research</t>
        </is>
      </c>
      <c r="N29" s="5" t="inlineStr"/>
    </row>
    <row r="30">
      <c r="A30" s="9" t="n">
        <v>29</v>
      </c>
      <c r="B30" s="9" t="inlineStr">
        <is>
          <t>Purple</t>
        </is>
      </c>
      <c r="C30" s="9" t="inlineStr">
        <is>
          <t>Manual Review</t>
        </is>
      </c>
      <c r="D30" s="9" t="n">
        <v>16</v>
      </c>
      <c r="E30" s="9" t="inlineStr">
        <is>
          <t>23125-02-25-15350</t>
        </is>
      </c>
      <c r="F30" s="9" t="inlineStr">
        <is>
          <t>1864 N OWASSO AV E</t>
        </is>
      </c>
      <c r="G30" s="10" t="n">
        <v>3140.35</v>
      </c>
      <c r="H30" s="4" t="inlineStr"/>
      <c r="I30" s="10">
        <f>IF(H30="","",H30-G30)</f>
        <v/>
      </c>
      <c r="J30" s="9" t="inlineStr">
        <is>
          <t>Not Checked</t>
        </is>
      </c>
      <c r="K30" s="9" t="inlineStr">
        <is>
          <t>Not Checked</t>
        </is>
      </c>
      <c r="L30" s="9" t="inlineStr">
        <is>
          <t>Not Checked</t>
        </is>
      </c>
      <c r="M30" s="9" t="inlineStr">
        <is>
          <t>Research</t>
        </is>
      </c>
      <c r="N30" s="11" t="inlineStr"/>
    </row>
    <row r="31">
      <c r="A31" s="2" t="n">
        <v>30</v>
      </c>
      <c r="B31" s="2" t="inlineStr">
        <is>
          <t>Green</t>
        </is>
      </c>
      <c r="C31" s="2" t="inlineStr">
        <is>
          <t>Manual Review</t>
        </is>
      </c>
      <c r="D31" s="2" t="n">
        <v>17</v>
      </c>
      <c r="E31" s="2" t="inlineStr">
        <is>
          <t>07600-02-24-01200</t>
        </is>
      </c>
      <c r="F31" s="2" t="inlineStr">
        <is>
          <t>820 E 36 ST N</t>
        </is>
      </c>
      <c r="G31" s="3" t="n">
        <v>3152.35</v>
      </c>
      <c r="H31" s="4" t="inlineStr"/>
      <c r="I31" s="3">
        <f>IF(H31="","",H31-G31)</f>
        <v/>
      </c>
      <c r="J31" s="2" t="inlineStr">
        <is>
          <t>Not Checked</t>
        </is>
      </c>
      <c r="K31" s="2" t="inlineStr">
        <is>
          <t>Not Checked</t>
        </is>
      </c>
      <c r="L31" s="2" t="inlineStr">
        <is>
          <t>Not Checked</t>
        </is>
      </c>
      <c r="M31" s="2" t="inlineStr">
        <is>
          <t>Research</t>
        </is>
      </c>
      <c r="N31" s="5" t="inlineStr"/>
    </row>
    <row r="32">
      <c r="A32" s="2" t="n">
        <v>31</v>
      </c>
      <c r="B32" s="2" t="inlineStr">
        <is>
          <t>Green</t>
        </is>
      </c>
      <c r="C32" s="2" t="inlineStr">
        <is>
          <t>Manual Review</t>
        </is>
      </c>
      <c r="D32" s="2" t="n">
        <v>21</v>
      </c>
      <c r="E32" s="2" t="inlineStr">
        <is>
          <t>44200-02-14-06630</t>
        </is>
      </c>
      <c r="F32" s="2" t="inlineStr">
        <is>
          <t>18 E 44 PL N</t>
        </is>
      </c>
      <c r="G32" s="3" t="n">
        <v>3183.01</v>
      </c>
      <c r="H32" s="4" t="inlineStr"/>
      <c r="I32" s="3">
        <f>IF(H32="","",H32-G32)</f>
        <v/>
      </c>
      <c r="J32" s="2" t="inlineStr">
        <is>
          <t>Not Checked</t>
        </is>
      </c>
      <c r="K32" s="2" t="inlineStr">
        <is>
          <t>Not Checked</t>
        </is>
      </c>
      <c r="L32" s="2" t="inlineStr">
        <is>
          <t>Not Checked</t>
        </is>
      </c>
      <c r="M32" s="2" t="inlineStr">
        <is>
          <t>Research</t>
        </is>
      </c>
      <c r="N32" s="5" t="inlineStr"/>
    </row>
    <row r="33">
      <c r="A33" s="2" t="n">
        <v>32</v>
      </c>
      <c r="B33" s="2" t="inlineStr">
        <is>
          <t>Green</t>
        </is>
      </c>
      <c r="C33" s="2" t="inlineStr">
        <is>
          <t>Manual Review</t>
        </is>
      </c>
      <c r="D33" s="2" t="n">
        <v>26</v>
      </c>
      <c r="E33" s="2" t="inlineStr">
        <is>
          <t>07675-02-13-01140</t>
        </is>
      </c>
      <c r="F33" s="2" t="inlineStr">
        <is>
          <t>4018 N GARRISON AV E</t>
        </is>
      </c>
      <c r="G33" s="3" t="n">
        <v>3245.67</v>
      </c>
      <c r="H33" s="4" t="inlineStr"/>
      <c r="I33" s="3">
        <f>IF(H33="","",H33-G33)</f>
        <v/>
      </c>
      <c r="J33" s="2" t="inlineStr">
        <is>
          <t>Not Checked</t>
        </is>
      </c>
      <c r="K33" s="2" t="inlineStr">
        <is>
          <t>Not Checked</t>
        </is>
      </c>
      <c r="L33" s="2" t="inlineStr">
        <is>
          <t>Not Checked</t>
        </is>
      </c>
      <c r="M33" s="2" t="inlineStr">
        <is>
          <t>Research</t>
        </is>
      </c>
      <c r="N33" s="5" t="inlineStr"/>
    </row>
    <row r="34">
      <c r="A34" s="2" t="n">
        <v>33</v>
      </c>
      <c r="B34" s="2" t="inlineStr">
        <is>
          <t>Green</t>
        </is>
      </c>
      <c r="C34" s="2" t="inlineStr">
        <is>
          <t>Manual Review</t>
        </is>
      </c>
      <c r="D34" s="2" t="n">
        <v>34</v>
      </c>
      <c r="E34" s="2" t="inlineStr">
        <is>
          <t>17675-02-24-07570</t>
        </is>
      </c>
      <c r="F34" s="2" t="inlineStr">
        <is>
          <t>750 E 32 PL N</t>
        </is>
      </c>
      <c r="G34" s="3" t="n">
        <v>3310.33</v>
      </c>
      <c r="H34" s="4" t="inlineStr"/>
      <c r="I34" s="3">
        <f>IF(H34="","",H34-G34)</f>
        <v/>
      </c>
      <c r="J34" s="2" t="inlineStr">
        <is>
          <t>Not Checked</t>
        </is>
      </c>
      <c r="K34" s="2" t="inlineStr">
        <is>
          <t>Not Checked</t>
        </is>
      </c>
      <c r="L34" s="2" t="inlineStr">
        <is>
          <t>Not Checked</t>
        </is>
      </c>
      <c r="M34" s="2" t="inlineStr">
        <is>
          <t>Research</t>
        </is>
      </c>
      <c r="N34" s="5" t="inlineStr"/>
    </row>
    <row r="35">
      <c r="A35" s="2" t="n">
        <v>34</v>
      </c>
      <c r="B35" s="2" t="inlineStr">
        <is>
          <t>Green</t>
        </is>
      </c>
      <c r="C35" s="2" t="inlineStr">
        <is>
          <t>Manual Review</t>
        </is>
      </c>
      <c r="D35" s="2" t="n">
        <v>35</v>
      </c>
      <c r="E35" s="2" t="inlineStr">
        <is>
          <t>25500-03-29-06060</t>
        </is>
      </c>
      <c r="F35" s="2" t="inlineStr">
        <is>
          <t>2625 E TECUMSEH ST N</t>
        </is>
      </c>
      <c r="G35" s="3" t="n">
        <v>3310.33</v>
      </c>
      <c r="H35" s="4" t="inlineStr"/>
      <c r="I35" s="3">
        <f>IF(H35="","",H35-G35)</f>
        <v/>
      </c>
      <c r="J35" s="2" t="inlineStr">
        <is>
          <t>Not Checked</t>
        </is>
      </c>
      <c r="K35" s="2" t="inlineStr">
        <is>
          <t>Not Checked</t>
        </is>
      </c>
      <c r="L35" s="2" t="inlineStr">
        <is>
          <t>Not Checked</t>
        </is>
      </c>
      <c r="M35" s="2" t="inlineStr">
        <is>
          <t>Research</t>
        </is>
      </c>
      <c r="N35" s="5" t="inlineStr"/>
    </row>
    <row r="36">
      <c r="A36" s="2" t="n">
        <v>35</v>
      </c>
      <c r="B36" s="2" t="inlineStr">
        <is>
          <t>Green</t>
        </is>
      </c>
      <c r="C36" s="2" t="inlineStr">
        <is>
          <t>Manual Review</t>
        </is>
      </c>
      <c r="D36" s="2" t="n">
        <v>36</v>
      </c>
      <c r="E36" s="2" t="inlineStr">
        <is>
          <t>44200-02-11-03380</t>
        </is>
      </c>
      <c r="F36" s="2" t="inlineStr">
        <is>
          <t>4627 N BOSTON AV E</t>
        </is>
      </c>
      <c r="G36" s="3" t="n">
        <v>3311</v>
      </c>
      <c r="H36" s="4" t="inlineStr"/>
      <c r="I36" s="3">
        <f>IF(H36="","",H36-G36)</f>
        <v/>
      </c>
      <c r="J36" s="2" t="inlineStr">
        <is>
          <t>Not Checked</t>
        </is>
      </c>
      <c r="K36" s="2" t="inlineStr">
        <is>
          <t>Not Checked</t>
        </is>
      </c>
      <c r="L36" s="2" t="inlineStr">
        <is>
          <t>Not Checked</t>
        </is>
      </c>
      <c r="M36" s="2" t="inlineStr">
        <is>
          <t>Research</t>
        </is>
      </c>
      <c r="N36" s="5" t="inlineStr"/>
    </row>
    <row r="37">
      <c r="A37" s="2" t="n">
        <v>36</v>
      </c>
      <c r="B37" s="2" t="inlineStr">
        <is>
          <t>Green</t>
        </is>
      </c>
      <c r="C37" s="2" t="inlineStr">
        <is>
          <t>Manual Review</t>
        </is>
      </c>
      <c r="D37" s="2" t="n">
        <v>38</v>
      </c>
      <c r="E37" s="2" t="inlineStr">
        <is>
          <t>25375-03-29-05240</t>
        </is>
      </c>
      <c r="F37" s="2" t="inlineStr">
        <is>
          <t>3215 E XYLER ST N</t>
        </is>
      </c>
      <c r="G37" s="3" t="n">
        <v>3313.8</v>
      </c>
      <c r="H37" s="4" t="inlineStr"/>
      <c r="I37" s="3">
        <f>IF(H37="","",H37-G37)</f>
        <v/>
      </c>
      <c r="J37" s="2" t="inlineStr">
        <is>
          <t>Not Checked</t>
        </is>
      </c>
      <c r="K37" s="2" t="inlineStr">
        <is>
          <t>Not Checked</t>
        </is>
      </c>
      <c r="L37" s="2" t="inlineStr">
        <is>
          <t>Not Checked</t>
        </is>
      </c>
      <c r="M37" s="2" t="inlineStr">
        <is>
          <t>Research</t>
        </is>
      </c>
      <c r="N37" s="5" t="inlineStr"/>
    </row>
    <row r="38">
      <c r="A38" s="9" t="n">
        <v>37</v>
      </c>
      <c r="B38" s="9" t="inlineStr">
        <is>
          <t>Purple</t>
        </is>
      </c>
      <c r="C38" s="9" t="inlineStr">
        <is>
          <t>Manual Review</t>
        </is>
      </c>
      <c r="D38" s="9" t="n">
        <v>39</v>
      </c>
      <c r="E38" s="9" t="inlineStr">
        <is>
          <t>90306-03-06-24020</t>
        </is>
      </c>
      <c r="F38" s="9" t="inlineStr">
        <is>
          <t>1641 E 56 ST N</t>
        </is>
      </c>
      <c r="G38" s="10" t="n">
        <v>3314.33</v>
      </c>
      <c r="H38" s="4" t="inlineStr"/>
      <c r="I38" s="10">
        <f>IF(H38="","",H38-G38)</f>
        <v/>
      </c>
      <c r="J38" s="9" t="inlineStr">
        <is>
          <t>Not Checked</t>
        </is>
      </c>
      <c r="K38" s="9" t="inlineStr">
        <is>
          <t>Not Checked</t>
        </is>
      </c>
      <c r="L38" s="9" t="inlineStr">
        <is>
          <t>Not Checked</t>
        </is>
      </c>
      <c r="M38" s="9" t="inlineStr">
        <is>
          <t>Research</t>
        </is>
      </c>
      <c r="N38" s="11" t="inlineStr"/>
    </row>
    <row r="39">
      <c r="A39" s="2" t="n">
        <v>38</v>
      </c>
      <c r="B39" s="2" t="inlineStr">
        <is>
          <t>Green</t>
        </is>
      </c>
      <c r="C39" s="2" t="inlineStr">
        <is>
          <t>Manual Review</t>
        </is>
      </c>
      <c r="D39" s="2" t="n">
        <v>40</v>
      </c>
      <c r="E39" s="2" t="inlineStr">
        <is>
          <t>44250-02-12-15190</t>
        </is>
      </c>
      <c r="F39" s="2" t="inlineStr">
        <is>
          <t>549 E 54 PL N</t>
        </is>
      </c>
      <c r="G39" s="3" t="n">
        <v>3327</v>
      </c>
      <c r="H39" s="4" t="inlineStr"/>
      <c r="I39" s="3">
        <f>IF(H39="","",H39-G39)</f>
        <v/>
      </c>
      <c r="J39" s="2" t="inlineStr">
        <is>
          <t>Not Checked</t>
        </is>
      </c>
      <c r="K39" s="2" t="inlineStr">
        <is>
          <t>Not Checked</t>
        </is>
      </c>
      <c r="L39" s="2" t="inlineStr">
        <is>
          <t>Not Checked</t>
        </is>
      </c>
      <c r="M39" s="2" t="inlineStr">
        <is>
          <t>Research</t>
        </is>
      </c>
      <c r="N39" s="5" t="inlineStr"/>
    </row>
    <row r="40">
      <c r="A40" s="2" t="n">
        <v>39</v>
      </c>
      <c r="B40" s="2" t="inlineStr">
        <is>
          <t>Green</t>
        </is>
      </c>
      <c r="C40" s="2" t="inlineStr">
        <is>
          <t>Manual Review</t>
        </is>
      </c>
      <c r="D40" s="2" t="n">
        <v>43</v>
      </c>
      <c r="E40" s="2" t="inlineStr">
        <is>
          <t>46465-92-11-31880</t>
        </is>
      </c>
      <c r="F40" s="2" t="inlineStr">
        <is>
          <t>2034 S PHOENIX AV W</t>
        </is>
      </c>
      <c r="G40" s="3" t="n">
        <v>3329</v>
      </c>
      <c r="H40" s="4" t="inlineStr"/>
      <c r="I40" s="3">
        <f>IF(H40="","",H40-G40)</f>
        <v/>
      </c>
      <c r="J40" s="2" t="inlineStr">
        <is>
          <t>Not Checked</t>
        </is>
      </c>
      <c r="K40" s="2" t="inlineStr">
        <is>
          <t>Not Checked</t>
        </is>
      </c>
      <c r="L40" s="2" t="inlineStr">
        <is>
          <t>Not Checked</t>
        </is>
      </c>
      <c r="M40" s="2" t="inlineStr">
        <is>
          <t>Research</t>
        </is>
      </c>
      <c r="N40" s="5" t="inlineStr"/>
    </row>
    <row r="41">
      <c r="A41" s="9" t="n">
        <v>40</v>
      </c>
      <c r="B41" s="9" t="inlineStr">
        <is>
          <t>Purple</t>
        </is>
      </c>
      <c r="C41" s="9" t="inlineStr">
        <is>
          <t>Manual Review</t>
        </is>
      </c>
      <c r="D41" s="9" t="n">
        <v>48</v>
      </c>
      <c r="E41" s="9" t="inlineStr">
        <is>
          <t>29625-02-36-21010</t>
        </is>
      </c>
      <c r="F41" s="9" t="inlineStr">
        <is>
          <t>419 E NEWTON PL N</t>
        </is>
      </c>
      <c r="G41" s="10" t="n">
        <v>3388.99</v>
      </c>
      <c r="H41" s="4" t="inlineStr"/>
      <c r="I41" s="10">
        <f>IF(H41="","",H41-G41)</f>
        <v/>
      </c>
      <c r="J41" s="9" t="inlineStr">
        <is>
          <t>Not Checked</t>
        </is>
      </c>
      <c r="K41" s="9" t="inlineStr">
        <is>
          <t>Not Checked</t>
        </is>
      </c>
      <c r="L41" s="9" t="inlineStr">
        <is>
          <t>Not Checked</t>
        </is>
      </c>
      <c r="M41" s="9" t="inlineStr">
        <is>
          <t>Research</t>
        </is>
      </c>
      <c r="N41" s="11" t="inlineStr"/>
    </row>
    <row r="42">
      <c r="A42" s="9" t="n">
        <v>41</v>
      </c>
      <c r="B42" s="9" t="inlineStr">
        <is>
          <t>Purple</t>
        </is>
      </c>
      <c r="C42" s="9" t="inlineStr">
        <is>
          <t>Manual Review</t>
        </is>
      </c>
      <c r="D42" s="9" t="n">
        <v>49</v>
      </c>
      <c r="E42" s="9" t="inlineStr">
        <is>
          <t>10450-03-19-50550</t>
        </is>
      </c>
      <c r="F42" s="9" t="inlineStr">
        <is>
          <t>3128 N TROOST PL E</t>
        </is>
      </c>
      <c r="G42" s="10" t="n">
        <v>3389.11</v>
      </c>
      <c r="H42" s="4" t="inlineStr"/>
      <c r="I42" s="10">
        <f>IF(H42="","",H42-G42)</f>
        <v/>
      </c>
      <c r="J42" s="9" t="inlineStr">
        <is>
          <t>Not Checked</t>
        </is>
      </c>
      <c r="K42" s="9" t="inlineStr">
        <is>
          <t>Not Checked</t>
        </is>
      </c>
      <c r="L42" s="9" t="inlineStr">
        <is>
          <t>Not Checked</t>
        </is>
      </c>
      <c r="M42" s="9" t="inlineStr">
        <is>
          <t>Research</t>
        </is>
      </c>
      <c r="N42" s="11" t="inlineStr"/>
    </row>
    <row r="43">
      <c r="A43" s="2" t="n">
        <v>42</v>
      </c>
      <c r="B43" s="2" t="inlineStr">
        <is>
          <t>Green</t>
        </is>
      </c>
      <c r="C43" s="2" t="inlineStr">
        <is>
          <t>Manual Review</t>
        </is>
      </c>
      <c r="D43" s="2" t="n">
        <v>1</v>
      </c>
      <c r="E43" s="2" t="inlineStr">
        <is>
          <t>00575-93-06-01170</t>
        </is>
      </c>
      <c r="F43" s="2" t="inlineStr">
        <is>
          <t>511 S VICTOR AV E</t>
        </is>
      </c>
      <c r="G43" s="3" t="n">
        <v>3910.27</v>
      </c>
      <c r="H43" s="4" t="inlineStr"/>
      <c r="I43" s="3">
        <f>IF(H43="","",H43-G43)</f>
        <v/>
      </c>
      <c r="J43" s="2" t="inlineStr">
        <is>
          <t>Not Checked</t>
        </is>
      </c>
      <c r="K43" s="2" t="inlineStr">
        <is>
          <t>Not Checked</t>
        </is>
      </c>
      <c r="L43" s="2" t="inlineStr">
        <is>
          <t>Not Checked</t>
        </is>
      </c>
      <c r="M43" s="2" t="inlineStr">
        <is>
          <t>Research</t>
        </is>
      </c>
      <c r="N43" s="5" t="inlineStr"/>
    </row>
  </sheetData>
  <autoFilter ref="A1:N43"/>
  <dataValidations count="4">
    <dataValidation sqref="J2:J43" showDropDown="0" showInputMessage="0" showErrorMessage="0" allowBlank="1" type="list">
      <formula1>"Not Checked,Looks Good,Needs Caution,Avoid"</formula1>
    </dataValidation>
    <dataValidation sqref="K2:K43" showDropDown="0" showInputMessage="0" showErrorMessage="0" allowBlank="1" type="list">
      <formula1>"Not Checked,Low,Medium,High,Avoid"</formula1>
    </dataValidation>
    <dataValidation sqref="L2:L43" showDropDown="0" showInputMessage="0" showErrorMessage="0" allowBlank="1" type="list">
      <formula1>"Not Checked,Low,Medium,High,Avoid"</formula1>
    </dataValidation>
    <dataValidation sqref="M2:M43" showDropDown="0" showInputMessage="0" showErrorMessage="0" allowBlank="1" type="list">
      <formula1>"Research,Drive By,Bid Candidate,Watch,Remove"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total properties</t>
        </is>
      </c>
      <c r="B2" s="13" t="n">
        <v>42</v>
      </c>
    </row>
    <row r="3">
      <c r="A3" s="13" t="inlineStr">
        <is>
          <t>total opening bid amount</t>
        </is>
      </c>
      <c r="B3" s="14">
        <f>SUM('Bid List'!G2:G43)</f>
        <v/>
      </c>
    </row>
    <row r="4">
      <c r="A4" s="13" t="inlineStr">
        <is>
          <t>count by Color - Green</t>
        </is>
      </c>
      <c r="B4" s="13">
        <f>COUNTIF('Bid List'!B2:B43,"Green")</f>
        <v/>
      </c>
    </row>
    <row r="5">
      <c r="A5" s="13" t="inlineStr">
        <is>
          <t>count by Color - Purple</t>
        </is>
      </c>
      <c r="B5" s="13">
        <f>COUNTIF('Bid List'!B2:B43,"Purple")</f>
        <v/>
      </c>
    </row>
    <row r="6">
      <c r="A6" s="13" t="inlineStr">
        <is>
          <t>count by Color - Blue</t>
        </is>
      </c>
      <c r="B6" s="13">
        <f>COUNTIF('Bid List'!B2:B43,"Blue")</f>
        <v/>
      </c>
    </row>
    <row r="7">
      <c r="A7" s="13" t="inlineStr">
        <is>
          <t>count by Source - Manual Review</t>
        </is>
      </c>
      <c r="B7" s="13">
        <f>COUNTIF('Bid List'!C2:C43,"Manual Review")</f>
        <v/>
      </c>
    </row>
    <row r="8">
      <c r="A8" s="13" t="inlineStr">
        <is>
          <t>count by Source - $1,500–$2,000</t>
        </is>
      </c>
      <c r="B8" s="13">
        <f>COUNTIF('Bid List'!C2:C43,"$1,500–$2,000")</f>
        <v/>
      </c>
    </row>
    <row r="9">
      <c r="A9" s="13" t="inlineStr">
        <is>
          <t>count by Source - $1,000–$1,500</t>
        </is>
      </c>
      <c r="B9" s="13">
        <f>COUNTIF('Bid List'!C2:C43,"$1,000–$1,500")</f>
        <v/>
      </c>
    </row>
    <row r="10">
      <c r="A10" s="13" t="inlineStr">
        <is>
          <t>count by Source - $900–$1,000</t>
        </is>
      </c>
      <c r="B10" s="13">
        <f>COUNTIF('Bid List'!C2:C43,"$900–$1,000")</f>
        <v/>
      </c>
    </row>
    <row r="11">
      <c r="A11" s="13" t="inlineStr">
        <is>
          <t>cheapest property</t>
        </is>
      </c>
      <c r="B11" s="13" t="inlineStr">
        <is>
          <t>44675-92-08-04460 | 5134 W CHARLES PAGE | $907.78</t>
        </is>
      </c>
    </row>
    <row r="12">
      <c r="A12" s="13" t="inlineStr">
        <is>
          <t>most expensive property</t>
        </is>
      </c>
      <c r="B12" s="13" t="inlineStr">
        <is>
          <t>00575-93-06-01170 | 511 S VICTOR AV E | $3910.27</t>
        </is>
      </c>
    </row>
    <row r="13">
      <c r="A13" s="13" t="inlineStr">
        <is>
          <t>blank Max Bid count</t>
        </is>
      </c>
      <c r="B13" s="14">
        <f>COUNTBLANK('Bid List'!H2:H43)</f>
        <v/>
      </c>
    </row>
    <row r="14">
      <c r="A14" s="13" t="inlineStr">
        <is>
          <t>total Max Bid amount</t>
        </is>
      </c>
      <c r="B14" s="14">
        <f>SUM('Bid List'!H2:H43)</f>
        <v/>
      </c>
    </row>
    <row r="15">
      <c r="A15" s="13" t="inlineStr">
        <is>
          <t>total Bid Spread</t>
        </is>
      </c>
      <c r="B15" s="13">
        <f>SUM('Bid List'!I2:I43)</f>
        <v/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2026-05-23T19:04:02Z</dcterms:created>
  <dcterms:modified xsi:type="dcterms:W3CDTF">2026-05-23T19:04:02Z</dcterms:modified>
</cp:coreProperties>
</file>